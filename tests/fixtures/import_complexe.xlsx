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es 2024" sheetId="1" state="visible" r:id="rId3"/>
    <sheet name="Planning" sheetId="2" state="visible" r:id="rId4"/>
    <sheet name="Achats" sheetId="3" state="visible" r:id="rId5"/>
    <sheet name="Paramètres" sheetId="4" state="hidden" r:id="rId6"/>
    <sheet name="Vide" sheetId="5" state="visible" r:id="rId7"/>
    <sheet name="Très lar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<sst xmlns="http://schemas.openxmlformats.org/spreadsheetml/2006/main" count="129" uniqueCount="125">
  <si>
    <t xml:space="preserve">Tableau 1 : Ventes trimestrielles par région</t>
  </si>
  <si>
    <t xml:space="preserve">Région</t>
  </si>
  <si>
    <t xml:space="preserve">T1</t>
  </si>
  <si>
    <t xml:space="preserve">T2</t>
  </si>
  <si>
    <t xml:space="preserve">T3</t>
  </si>
  <si>
    <t xml:space="preserve">T4</t>
  </si>
  <si>
    <t xml:space="preserve">Total</t>
  </si>
  <si>
    <t xml:space="preserve">Évolution</t>
  </si>
  <si>
    <t xml:space="preserve">Code interne</t>
  </si>
  <si>
    <t xml:space="preserve">Île-de-France</t>
  </si>
  <si>
    <t xml:space="preserve">IDF-01</t>
  </si>
  <si>
    <t xml:space="preserve">Auvergne-Rhône-Alpes</t>
  </si>
  <si>
    <t xml:space="preserve">ARA-02</t>
  </si>
  <si>
    <t xml:space="preserve">Nouvelle-Aquitaine</t>
  </si>
  <si>
    <t xml:space="preserve">NAQ-03</t>
  </si>
  <si>
    <t xml:space="preserve">Occitanie</t>
  </si>
  <si>
    <t xml:space="preserve">OCC-04</t>
  </si>
  <si>
    <t xml:space="preserve">Hauts-de-France</t>
  </si>
  <si>
    <t xml:space="preserve">HDF-05</t>
  </si>
  <si>
    <t xml:space="preserve">Ligne masquée</t>
  </si>
  <si>
    <t xml:space="preserve">Source : service commercial, données provisoires au 31/12/2024 (hors taxes).</t>
  </si>
  <si>
    <t xml:space="preserve">Phase</t>
  </si>
  <si>
    <t xml:space="preserve">Tâche</t>
  </si>
  <si>
    <t xml:space="preserve">Début</t>
  </si>
  <si>
    <t xml:space="preserve">Fin</t>
  </si>
  <si>
    <t xml:space="preserve">Durée</t>
  </si>
  <si>
    <t xml:space="preserve">Terminé</t>
  </si>
  <si>
    <t xml:space="preserve">Avancement</t>
  </si>
  <si>
    <t xml:space="preserve">Remarque</t>
  </si>
  <si>
    <t xml:space="preserve">Phase 1</t>
  </si>
  <si>
    <t xml:space="preserve">Cadrage du projet</t>
  </si>
  <si>
    <t xml:space="preserve">Validé en comité</t>
  </si>
  <si>
    <t xml:space="preserve">Recueil des besoins</t>
  </si>
  <si>
    <t xml:space="preserve">Ateliers avec les utilisateurs
et les métiers (4 sessions)</t>
  </si>
  <si>
    <t xml:space="preserve">Rédaction des spécifications</t>
  </si>
  <si>
    <t xml:space="preserve">Phase 2</t>
  </si>
  <si>
    <t xml:space="preserve">Développement</t>
  </si>
  <si>
    <t xml:space="preserve">Recette</t>
  </si>
  <si>
    <t xml:space="preserve">Note</t>
  </si>
  <si>
    <r>
      <rPr>
        <b val="true"/>
        <sz val="11"/>
        <color rgb="FFC00000"/>
        <rFont val="Cambria"/>
        <family val="0"/>
        <charset val="1"/>
      </rPr>
      <t xml:space="preserve">Attention : </t>
    </r>
    <r>
      <rPr>
        <sz val="11"/>
        <color theme="1"/>
        <rFont val="Calibri"/>
        <family val="2"/>
        <charset val="1"/>
      </rPr>
      <t xml:space="preserve">livrable en retard de </t>
    </r>
    <r>
      <rPr>
        <i val="true"/>
        <u val="single"/>
        <sz val="11"/>
        <rFont val="Cambria"/>
        <family val="0"/>
        <charset val="1"/>
      </rPr>
      <t xml:space="preserve">deux semaines</t>
    </r>
  </si>
  <si>
    <t xml:space="preserve">Montant</t>
  </si>
  <si>
    <t xml:space="preserve">0612345678</t>
  </si>
  <si>
    <t xml:space="preserve">Produit</t>
  </si>
  <si>
    <t xml:space="preserve">Catégorie</t>
  </si>
  <si>
    <t xml:space="preserve">Prix unitaire</t>
  </si>
  <si>
    <t xml:space="preserve">Quantité</t>
  </si>
  <si>
    <t xml:space="preserve">Stylo</t>
  </si>
  <si>
    <t xml:space="preserve">Fournitures</t>
  </si>
  <si>
    <t xml:space="preserve">Cahier</t>
  </si>
  <si>
    <t xml:space="preserve">Agrafeuse</t>
  </si>
  <si>
    <t xml:space="preserve">Matériel</t>
  </si>
  <si>
    <t xml:space="preserve">Écran 24 pouces</t>
  </si>
  <si>
    <t xml:space="preserve">Informatique</t>
  </si>
  <si>
    <t xml:space="preserve">Clavier</t>
  </si>
  <si>
    <t xml:space="preserve">Feuille masquée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</si>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</sst>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&quot; €&quot;"/>
    <numFmt numFmtId="166" formatCode="0.0%;[RED]\-0.0%"/>
    <numFmt numFmtId="167" formatCode="dddd\ d\ mmmm\ yyyy"/>
    <numFmt numFmtId="168" formatCode="dd/mm/yyyy\ hh:mm"/>
    <numFmt numFmtId="169" formatCode="[h]:mm"/>
    <numFmt numFmtId="170" formatCode="General"/>
    <numFmt numFmtId="171" formatCode="0%"/>
    <numFmt numFmtId="172" formatCode="#,##0.00;[RED]\(#,##0.00\)"/>
    <numFmt numFmtId="173" formatCode="0.00E+00"/>
    <numFmt numFmtId="174" formatCode="# ??/??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i val="true"/>
      <u val="singl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E6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double"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hats" displayName="Achats" ref="A1:E6" headerRowCount="1" totalsRowCount="0" totalsRowShown="0">
  <autoFilter ref="A1:E6"/>
  <tableColumns count="5">
    <tableColumn id="1" name="Produit"/>
    <tableColumn id="2" name="Catégorie"/>
    <tableColumn id="3" name="Prix unitaire"/>
    <tableColumn id="4" name="Quantité"/>
    <tableColumn id="5" name="Monta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true" outlineLevel="0" max="8" min="8" style="0" width="13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v>125430.5</v>
      </c>
      <c r="C4" s="4" t="n">
        <v>131200.25</v>
      </c>
      <c r="D4" s="4" t="n">
        <v>128900</v>
      </c>
      <c r="E4" s="4" t="n">
        <v>142750.75</v>
      </c>
      <c r="F4" s="5" t="n">
        <f aca="false">SUM(B4:E4)</f>
        <v>528281.5</v>
      </c>
      <c r="G4" s="6" t="n">
        <v>0.0825</v>
      </c>
      <c r="H4" s="7" t="s">
        <v>10</v>
      </c>
    </row>
    <row r="5" customFormat="false" ht="15" hidden="false" customHeight="false" outlineLevel="0" collapsed="false">
      <c r="A5" s="8" t="s">
        <v>11</v>
      </c>
      <c r="B5" s="9" t="n">
        <v>98765.4</v>
      </c>
      <c r="C5" s="9" t="n">
        <v>97500</v>
      </c>
      <c r="D5" s="9" t="n">
        <v>101230.1</v>
      </c>
      <c r="E5" s="9" t="n">
        <v>99870.6</v>
      </c>
      <c r="F5" s="10" t="n">
        <f aca="false">SUM(B5:E5)</f>
        <v>397366.1</v>
      </c>
      <c r="G5" s="11" t="n">
        <v>-0.0112</v>
      </c>
      <c r="H5" s="7" t="s">
        <v>12</v>
      </c>
    </row>
    <row r="6" customFormat="false" ht="15" hidden="false" customHeight="false" outlineLevel="0" collapsed="false">
      <c r="A6" s="3" t="s">
        <v>13</v>
      </c>
      <c r="B6" s="4" t="n">
        <v>67890</v>
      </c>
      <c r="C6" s="4" t="n">
        <v>70120.35</v>
      </c>
      <c r="D6" s="4" t="n">
        <v>69980.5</v>
      </c>
      <c r="E6" s="4" t="n">
        <v>73450.25</v>
      </c>
      <c r="F6" s="5" t="n">
        <f aca="false">SUM(B6:E6)</f>
        <v>281441.1</v>
      </c>
      <c r="G6" s="6" t="n">
        <v>0.0461</v>
      </c>
      <c r="H6" s="7" t="s">
        <v>14</v>
      </c>
    </row>
    <row r="7" customFormat="false" ht="15" hidden="false" customHeight="false" outlineLevel="0" collapsed="false">
      <c r="A7" s="8" t="s">
        <v>15</v>
      </c>
      <c r="B7" s="9" t="n">
        <v>54320.75</v>
      </c>
      <c r="C7" s="9" t="n">
        <v>52100</v>
      </c>
      <c r="D7" s="9" t="n">
        <v>51980.4</v>
      </c>
      <c r="E7" s="9" t="n">
        <v>50210.9</v>
      </c>
      <c r="F7" s="10" t="n">
        <f aca="false">SUM(B7:E7)</f>
        <v>208612.05</v>
      </c>
      <c r="G7" s="11" t="n">
        <v>-0.0759</v>
      </c>
      <c r="H7" s="7" t="s">
        <v>16</v>
      </c>
    </row>
    <row r="8" customFormat="false" ht="15" hidden="false" customHeight="false" outlineLevel="0" collapsed="false">
      <c r="A8" s="3" t="s">
        <v>17</v>
      </c>
      <c r="B8" s="4" t="n">
        <v>61234.5</v>
      </c>
      <c r="C8" s="4" t="n">
        <v>63210.8</v>
      </c>
      <c r="D8" s="4" t="n">
        <v>64890</v>
      </c>
      <c r="E8" s="4" t="n">
        <v>66120.45</v>
      </c>
      <c r="F8" s="5" t="n">
        <f aca="false">SUM(B8:E8)</f>
        <v>255455.75</v>
      </c>
      <c r="G8" s="6" t="n">
        <v>0.0312</v>
      </c>
      <c r="H8" s="7" t="s">
        <v>18</v>
      </c>
    </row>
    <row r="9" customFormat="false" ht="15" hidden="true" customHeight="false" outlineLevel="0" collapsed="false">
      <c r="A9" s="3" t="s">
        <v>19</v>
      </c>
    </row>
    <row r="10" customFormat="false" ht="15" hidden="false" customHeight="false" outlineLevel="0" collapsed="false">
      <c r="A10" s="12" t="s">
        <v>6</v>
      </c>
      <c r="B10" s="13" t="n">
        <f aca="false">SUM(B4:B8)</f>
        <v>407641.15</v>
      </c>
      <c r="C10" s="13" t="n">
        <f aca="false">SUM(C4:C8)</f>
        <v>414131.4</v>
      </c>
      <c r="D10" s="13" t="n">
        <f aca="false">SUM(D4:D8)</f>
        <v>416981</v>
      </c>
      <c r="E10" s="13" t="n">
        <f aca="false">SUM(E4:E8)</f>
        <v>432402.95</v>
      </c>
      <c r="F10" s="13" t="n">
        <f aca="false">SUM(F4:F8)</f>
        <v>1671156.5</v>
      </c>
      <c r="G10" s="14"/>
    </row>
    <row r="12" customFormat="false" ht="15" hidden="false" customHeight="false" outlineLevel="0" collapsed="false">
      <c r="A12" s="15" t="s">
        <v>20</v>
      </c>
    </row>
  </sheetData>
  <conditionalFormatting sqref="G4:G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61.5" hidden="false" customHeight="true" outlineLevel="0" collapsed="false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7" t="s">
        <v>26</v>
      </c>
      <c r="G1" s="16" t="s">
        <v>27</v>
      </c>
      <c r="H1" s="16" t="s">
        <v>28</v>
      </c>
    </row>
    <row r="2" customFormat="false" ht="15" hidden="false" customHeight="false" outlineLevel="0" collapsed="false">
      <c r="A2" s="18" t="s">
        <v>29</v>
      </c>
      <c r="B2" s="19" t="s">
        <v>30</v>
      </c>
      <c r="C2" s="20" t="n">
        <v>45299.375</v>
      </c>
      <c r="D2" s="21" t="n">
        <v>45310.7291666667</v>
      </c>
      <c r="E2" s="22" t="n">
        <v>1.5</v>
      </c>
      <c r="F2" s="23" t="b">
        <f aca="false">TRUE()</f>
        <v>1</v>
      </c>
      <c r="G2" s="24" t="n">
        <v>1</v>
      </c>
      <c r="H2" s="25" t="s">
        <v>31</v>
      </c>
    </row>
    <row r="3" customFormat="false" ht="28.35" hidden="false" customHeight="false" outlineLevel="0" collapsed="false">
      <c r="A3" s="18"/>
      <c r="B3" s="19" t="s">
        <v>32</v>
      </c>
      <c r="C3" s="20" t="n">
        <v>45313.375</v>
      </c>
      <c r="D3" s="21" t="n">
        <v>45338.75</v>
      </c>
      <c r="E3" s="22" t="n">
        <v>2.25</v>
      </c>
      <c r="F3" s="23" t="b">
        <f aca="false">TRUE()</f>
        <v>1</v>
      </c>
      <c r="G3" s="24" t="n">
        <v>1</v>
      </c>
      <c r="H3" s="25" t="s">
        <v>33</v>
      </c>
    </row>
    <row r="4" customFormat="false" ht="15" hidden="false" customHeight="false" outlineLevel="0" collapsed="false">
      <c r="A4" s="18"/>
      <c r="B4" s="19" t="s">
        <v>34</v>
      </c>
      <c r="C4" s="20" t="n">
        <v>45341</v>
      </c>
      <c r="D4" s="21" t="n">
        <v>45380</v>
      </c>
      <c r="E4" s="22" t="n">
        <v>10.75</v>
      </c>
      <c r="F4" s="23" t="b">
        <f aca="false">FALSE()</f>
        <v>0</v>
      </c>
      <c r="G4" s="24" t="n">
        <v>0.85</v>
      </c>
      <c r="H4" s="25"/>
    </row>
    <row r="5" customFormat="false" ht="15" hidden="false" customHeight="false" outlineLevel="0" collapsed="false">
      <c r="A5" s="18" t="s">
        <v>35</v>
      </c>
      <c r="B5" s="19" t="s">
        <v>36</v>
      </c>
      <c r="C5" s="20" t="n">
        <v>45383</v>
      </c>
      <c r="D5" s="21" t="n">
        <v>45485</v>
      </c>
      <c r="E5" s="22" t="n">
        <v>30.5</v>
      </c>
      <c r="F5" s="23" t="b">
        <f aca="false">FALSE()</f>
        <v>0</v>
      </c>
      <c r="G5" s="24" t="n">
        <v>0.4</v>
      </c>
      <c r="H5" s="25" t="e">
        <f aca="false">1/0</f>
        <v>#DIV/0!</v>
      </c>
    </row>
    <row r="6" customFormat="false" ht="15" hidden="false" customHeight="false" outlineLevel="0" collapsed="false">
      <c r="A6" s="18"/>
      <c r="B6" s="19" t="s">
        <v>37</v>
      </c>
      <c r="C6" s="20" t="n">
        <v>45537</v>
      </c>
      <c r="D6" s="21" t="n">
        <v>45576</v>
      </c>
      <c r="E6" s="22" t="n">
        <v>12</v>
      </c>
      <c r="F6" s="23" t="b">
        <f aca="false">FALSE()</f>
        <v>0</v>
      </c>
      <c r="G6" s="24" t="n">
        <v>0</v>
      </c>
      <c r="H6" s="25"/>
    </row>
    <row r="7" customFormat="false" ht="14.9" hidden="false" customHeight="false" outlineLevel="0" collapsed="false">
      <c r="A7" s="26" t="s">
        <v>38</v>
      </c>
      <c r="B7" s="27" t="s">
        <v>39</v>
      </c>
      <c r="C7" s="27"/>
      <c r="D7" s="27"/>
      <c r="E7" s="27"/>
      <c r="F7" s="27"/>
      <c r="G7" s="27"/>
      <c r="H7" s="27"/>
    </row>
    <row r="8" customFormat="false" ht="15" hidden="false" customHeight="false" outlineLevel="0" collapsed="false">
      <c r="A8" s="0" t="s">
        <v>40</v>
      </c>
      <c r="B8" s="28" t="n">
        <v>-1234.5</v>
      </c>
      <c r="C8" s="29" t="n">
        <v>0.000123</v>
      </c>
      <c r="D8" s="30" t="n">
        <v>3.14159265</v>
      </c>
      <c r="E8" s="0" t="n">
        <v>1234567890123</v>
      </c>
      <c r="F8" s="31" t="b">
        <f aca="false">FALSE()</f>
        <v>0</v>
      </c>
      <c r="G8" s="32" t="s">
        <v>41</v>
      </c>
      <c r="H8" s="0" t="n">
        <v>0.3</v>
      </c>
    </row>
  </sheetData>
  <mergeCells count="3">
    <mergeCell ref="A2:A4"/>
    <mergeCell ref="A5:A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7" t="s">
        <v>42</v>
      </c>
      <c r="B1" s="7" t="s">
        <v>43</v>
      </c>
      <c r="C1" s="7" t="s">
        <v>44</v>
      </c>
      <c r="D1" s="7" t="s">
        <v>45</v>
      </c>
      <c r="E1" s="7" t="s">
        <v>40</v>
      </c>
    </row>
    <row r="2" customFormat="false" ht="15" hidden="false" customHeight="false" outlineLevel="0" collapsed="false">
      <c r="A2" s="0" t="s">
        <v>46</v>
      </c>
      <c r="B2" s="0" t="s">
        <v>47</v>
      </c>
      <c r="C2" s="33" t="n">
        <v>1.2</v>
      </c>
      <c r="D2" s="0" t="n">
        <v>150</v>
      </c>
      <c r="E2" s="33" t="n">
        <f aca="false">C2*D2</f>
        <v>180</v>
      </c>
    </row>
    <row r="3" customFormat="false" ht="15" hidden="false" customHeight="false" outlineLevel="0" collapsed="false">
      <c r="A3" s="0" t="s">
        <v>48</v>
      </c>
      <c r="B3" s="0" t="s">
        <v>47</v>
      </c>
      <c r="C3" s="33" t="n">
        <v>2.5</v>
      </c>
      <c r="D3" s="0" t="n">
        <v>80</v>
      </c>
      <c r="E3" s="33" t="n">
        <f aca="false">C3*D3</f>
        <v>200</v>
      </c>
    </row>
    <row r="4" customFormat="false" ht="15" hidden="false" customHeight="false" outlineLevel="0" collapsed="false">
      <c r="A4" s="0" t="s">
        <v>49</v>
      </c>
      <c r="B4" s="0" t="s">
        <v>50</v>
      </c>
      <c r="C4" s="33" t="n">
        <v>12.9</v>
      </c>
      <c r="D4" s="0" t="n">
        <v>12</v>
      </c>
      <c r="E4" s="33" t="n">
        <f aca="false">C4*D4</f>
        <v>154.8</v>
      </c>
    </row>
    <row r="5" customFormat="false" ht="15" hidden="false" customHeight="false" outlineLevel="0" collapsed="false">
      <c r="A5" s="0" t="s">
        <v>51</v>
      </c>
      <c r="B5" s="0" t="s">
        <v>52</v>
      </c>
      <c r="C5" s="33" t="n">
        <v>189.99</v>
      </c>
      <c r="D5" s="0" t="n">
        <v>5</v>
      </c>
      <c r="E5" s="33" t="n">
        <f aca="false">C5*D5</f>
        <v>949.95</v>
      </c>
    </row>
    <row r="6" customFormat="false" ht="15" hidden="false" customHeight="false" outlineLevel="0" collapsed="false">
      <c r="A6" s="0" t="s">
        <v>53</v>
      </c>
      <c r="B6" s="0" t="s">
        <v>52</v>
      </c>
      <c r="C6" s="33" t="n">
        <v>24.5</v>
      </c>
      <c r="D6" s="0" t="n">
        <v>10</v>
      </c>
      <c r="E6" s="33" t="n">
        <f aca="false">C6*D6</f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55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  <c r="M1" s="0" t="s">
        <v>67</v>
      </c>
      <c r="N1" s="0" t="s">
        <v>68</v>
      </c>
      <c r="O1" s="0" t="s">
        <v>69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79</v>
      </c>
      <c r="Z1" s="0" t="s">
        <v>80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  <c r="AG1" s="0" t="s">
        <v>87</v>
      </c>
      <c r="AH1" s="0" t="s">
        <v>88</v>
      </c>
      <c r="AI1" s="0" t="s">
        <v>89</v>
      </c>
      <c r="AJ1" s="0" t="s">
        <v>90</v>
      </c>
      <c r="AK1" s="0" t="s">
        <v>91</v>
      </c>
      <c r="AL1" s="0" t="s">
        <v>92</v>
      </c>
      <c r="AM1" s="0" t="s">
        <v>93</v>
      </c>
      <c r="AN1" s="0" t="s">
        <v>94</v>
      </c>
      <c r="AO1" s="0" t="s">
        <v>95</v>
      </c>
      <c r="AP1" s="0" t="s">
        <v>96</v>
      </c>
      <c r="AQ1" s="0" t="s">
        <v>97</v>
      </c>
      <c r="AR1" s="0" t="s">
        <v>98</v>
      </c>
      <c r="AS1" s="0" t="s">
        <v>99</v>
      </c>
      <c r="AT1" s="0" t="s">
        <v>100</v>
      </c>
      <c r="AU1" s="0" t="s">
        <v>101</v>
      </c>
      <c r="AV1" s="0" t="s">
        <v>102</v>
      </c>
      <c r="AW1" s="0" t="s">
        <v>103</v>
      </c>
      <c r="AX1" s="0" t="s">
        <v>104</v>
      </c>
      <c r="AY1" s="0" t="s">
        <v>105</v>
      </c>
      <c r="AZ1" s="0" t="s">
        <v>106</v>
      </c>
      <c r="BA1" s="0" t="s">
        <v>107</v>
      </c>
      <c r="BB1" s="0" t="s">
        <v>108</v>
      </c>
      <c r="BC1" s="0" t="s">
        <v>109</v>
      </c>
      <c r="BD1" s="0" t="s">
        <v>110</v>
      </c>
      <c r="BE1" s="0" t="s">
        <v>111</v>
      </c>
      <c r="BF1" s="0" t="s">
        <v>112</v>
      </c>
      <c r="BG1" s="0" t="s">
        <v>113</v>
      </c>
      <c r="BH1" s="0" t="s">
        <v>114</v>
      </c>
      <c r="BI1" s="0" t="s">
        <v>115</v>
      </c>
      <c r="BJ1" s="0" t="s">
        <v>116</v>
      </c>
      <c r="BK1" s="0" t="s">
        <v>117</v>
      </c>
      <c r="BL1" s="0" t="s">
        <v>118</v>
      </c>
      <c r="BM1" s="0" t="s">
        <v>119</v>
      </c>
      <c r="BN1" s="0" t="s">
        <v>120</v>
      </c>
      <c r="BO1" s="0" t="s">
        <v>121</v>
      </c>
      <c r="BP1" s="0" t="s">
        <v>122</v>
      </c>
      <c r="BQ1" s="0" t="s">
        <v>123</v>
      </c>
      <c r="BR1" s="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2026-09-29T04:15:39Z</dcterms:created>
  <dc:creator>openpyxl</dc:creator>
  <dc:description/>
  <dc:language>en-US</dc:language>
  <cp:lastModifiedBy/>
  <dcterms:modified xsi:type="dcterms:W3CDTF">2026-09-29T04:15:39Z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