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2024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Achats" sheetId="3" state="visible" r:id="rId3"/>
    <sheet xmlns:r="http://schemas.openxmlformats.org/officeDocument/2006/relationships" name="Paramètres" sheetId="4" state="hidden" r:id="rId4"/>
    <sheet xmlns:r="http://schemas.openxmlformats.org/officeDocument/2006/relationships" name="Vide" sheetId="5" state="visible" r:id="rId5"/>
    <sheet xmlns:r="http://schemas.openxmlformats.org/officeDocument/2006/relationships" name="Très lar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\ &quot;€&quot;"/>
    <numFmt numFmtId="165" formatCode="0.0%;[Red]-0.0%"/>
    <numFmt numFmtId="166" formatCode="yyyy-mm-dd h:mm:ss"/>
    <numFmt numFmtId="167" formatCode="dddd d mmmm yyyy"/>
    <numFmt numFmtId="168" formatCode="dd/mm/yyyy hh:mm"/>
    <numFmt numFmtId="169" formatCode="[h]:mm"/>
    <numFmt numFmtId="170" formatCode="#,##0.00;[Red](#,##0.00)"/>
  </numFmts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b val="1"/>
    </font>
    <font>
      <i val="1"/>
      <color rgb="00595959"/>
      <sz val="9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medium">
        <color rgb="001F3864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3" fillId="3" borderId="1" pivotButton="0" quotePrefix="0" xfId="0"/>
    <xf numFmtId="165" fontId="0" fillId="3" borderId="1" pivotButton="0" quotePrefix="0" xfId="0"/>
    <xf numFmtId="0" fontId="3" fillId="0" borderId="2" pivotButton="0" quotePrefix="0" xfId="0"/>
    <xf numFmtId="164" fontId="3" fillId="0" borderId="2" pivotButton="0" quotePrefix="0" xfId="0"/>
    <xf numFmtId="0" fontId="0" fillId="0" borderId="2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indent="1"/>
    </xf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170" fontId="0" fillId="0" borderId="0" pivotButton="0" quotePrefix="0" xfId="0"/>
    <xf numFmtId="11" fontId="0" fillId="0" borderId="0" pivotButton="0" quotePrefix="0" xfId="0"/>
    <xf numFmtId="13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chats" displayName="Achats" ref="A1:E6" headerRowCount="1">
  <autoFilter ref="A1:E6"/>
  <tableColumns count="5">
    <tableColumn id="1" name="Produit"/>
    <tableColumn id="2" name="Catégorie"/>
    <tableColumn id="3" name="Prix unitaire"/>
    <tableColumn id="4" name="Quantité"/>
    <tableColumn id="5" name="Monta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1" customWidth="1" min="7" max="7"/>
    <col hidden="1" width="13" customWidth="1" min="8" max="8"/>
  </cols>
  <sheetData>
    <row r="1">
      <c r="A1" s="1" t="inlineStr">
        <is>
          <t>Tableau 1 : Ventes trimestrielles par région</t>
        </is>
      </c>
    </row>
    <row r="3" ht="30" customHeight="1">
      <c r="A3" s="2" t="inlineStr">
        <is>
          <t>Région</t>
        </is>
      </c>
      <c r="B3" s="2" t="inlineStr">
        <is>
          <t>T1</t>
        </is>
      </c>
      <c r="C3" s="2" t="inlineStr">
        <is>
          <t>T2</t>
        </is>
      </c>
      <c r="D3" s="2" t="inlineStr">
        <is>
          <t>T3</t>
        </is>
      </c>
      <c r="E3" s="2" t="inlineStr">
        <is>
          <t>T4</t>
        </is>
      </c>
      <c r="F3" s="2" t="inlineStr">
        <is>
          <t>Total</t>
        </is>
      </c>
      <c r="G3" s="2" t="inlineStr">
        <is>
          <t>Évolution</t>
        </is>
      </c>
      <c r="H3" s="2" t="inlineStr">
        <is>
          <t>Code interne</t>
        </is>
      </c>
    </row>
    <row r="4">
      <c r="A4" s="3" t="inlineStr">
        <is>
          <t>Île-de-France</t>
        </is>
      </c>
      <c r="B4" s="4" t="n">
        <v>125430.5</v>
      </c>
      <c r="C4" s="4" t="n">
        <v>131200.25</v>
      </c>
      <c r="D4" s="4" t="n">
        <v>128900</v>
      </c>
      <c r="E4" s="4" t="n">
        <v>142750.75</v>
      </c>
      <c r="F4" s="5">
        <f>SUM(B4:E4)</f>
        <v/>
      </c>
      <c r="G4" s="6" t="n">
        <v>0.0825</v>
      </c>
      <c r="H4" t="inlineStr">
        <is>
          <t>IDF-01</t>
        </is>
      </c>
    </row>
    <row r="5">
      <c r="A5" s="7" t="inlineStr">
        <is>
          <t>Auvergne-Rhône-Alpes</t>
        </is>
      </c>
      <c r="B5" s="8" t="n">
        <v>98765.39999999999</v>
      </c>
      <c r="C5" s="8" t="n">
        <v>97500</v>
      </c>
      <c r="D5" s="8" t="n">
        <v>101230.1</v>
      </c>
      <c r="E5" s="8" t="n">
        <v>99870.60000000001</v>
      </c>
      <c r="F5" s="9">
        <f>SUM(B5:E5)</f>
        <v/>
      </c>
      <c r="G5" s="10" t="n">
        <v>-0.0112</v>
      </c>
      <c r="H5" t="inlineStr">
        <is>
          <t>ARA-02</t>
        </is>
      </c>
    </row>
    <row r="6">
      <c r="A6" s="3" t="inlineStr">
        <is>
          <t>Nouvelle-Aquitaine</t>
        </is>
      </c>
      <c r="B6" s="4" t="n">
        <v>67890</v>
      </c>
      <c r="C6" s="4" t="n">
        <v>70120.35000000001</v>
      </c>
      <c r="D6" s="4" t="n">
        <v>69980.5</v>
      </c>
      <c r="E6" s="4" t="n">
        <v>73450.25</v>
      </c>
      <c r="F6" s="5">
        <f>SUM(B6:E6)</f>
        <v/>
      </c>
      <c r="G6" s="6" t="n">
        <v>0.0461</v>
      </c>
      <c r="H6" t="inlineStr">
        <is>
          <t>NAQ-03</t>
        </is>
      </c>
    </row>
    <row r="7">
      <c r="A7" s="7" t="inlineStr">
        <is>
          <t>Occitanie</t>
        </is>
      </c>
      <c r="B7" s="8" t="n">
        <v>54320.75</v>
      </c>
      <c r="C7" s="8" t="n">
        <v>52100</v>
      </c>
      <c r="D7" s="8" t="n">
        <v>51980.4</v>
      </c>
      <c r="E7" s="8" t="n">
        <v>50210.9</v>
      </c>
      <c r="F7" s="9">
        <f>SUM(B7:E7)</f>
        <v/>
      </c>
      <c r="G7" s="10" t="n">
        <v>-0.0759</v>
      </c>
      <c r="H7" t="inlineStr">
        <is>
          <t>OCC-04</t>
        </is>
      </c>
    </row>
    <row r="8">
      <c r="A8" s="3" t="inlineStr">
        <is>
          <t>Hauts-de-France</t>
        </is>
      </c>
      <c r="B8" s="4" t="n">
        <v>61234.5</v>
      </c>
      <c r="C8" s="4" t="n">
        <v>63210.8</v>
      </c>
      <c r="D8" s="4" t="n">
        <v>64890</v>
      </c>
      <c r="E8" s="4" t="n">
        <v>66120.45</v>
      </c>
      <c r="F8" s="5">
        <f>SUM(B8:E8)</f>
        <v/>
      </c>
      <c r="G8" s="6" t="n">
        <v>0.0312</v>
      </c>
      <c r="H8" t="inlineStr">
        <is>
          <t>HDF-05</t>
        </is>
      </c>
    </row>
    <row r="9" hidden="1">
      <c r="A9" s="3" t="inlineStr">
        <is>
          <t>Ligne masquée</t>
        </is>
      </c>
    </row>
    <row r="10">
      <c r="A10" s="11" t="inlineStr">
        <is>
          <t>Total</t>
        </is>
      </c>
      <c r="B10" s="12">
        <f>SUM(B4:B8)</f>
        <v/>
      </c>
      <c r="C10" s="12">
        <f>SUM(C4:C8)</f>
        <v/>
      </c>
      <c r="D10" s="12">
        <f>SUM(D4:D8)</f>
        <v/>
      </c>
      <c r="E10" s="12">
        <f>SUM(E4:E8)</f>
        <v/>
      </c>
      <c r="F10" s="12">
        <f>SUM(F4:F8)</f>
        <v/>
      </c>
      <c r="G10" s="13" t="n"/>
    </row>
    <row r="12">
      <c r="A12" s="14" t="inlineStr">
        <is>
          <t>Source : service commercial, données provisoires au 31/12/2024 (hors taxes).</t>
        </is>
      </c>
    </row>
  </sheetData>
  <conditionalFormatting sqref="G4:G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3"/>
    <col width="17" customWidth="1" min="4" max="4"/>
    <col width="9" customWidth="1" min="5" max="5"/>
    <col width="5" customWidth="1" min="6" max="6"/>
    <col width="12" customWidth="1" min="7" max="7"/>
    <col width="32" customWidth="1" min="8" max="8"/>
  </cols>
  <sheetData>
    <row r="1" ht="62" customHeight="1">
      <c r="A1" s="15" t="inlineStr">
        <is>
          <t>Phase</t>
        </is>
      </c>
      <c r="B1" s="15" t="inlineStr">
        <is>
          <t>Tâche</t>
        </is>
      </c>
      <c r="C1" s="15" t="inlineStr">
        <is>
          <t>Début</t>
        </is>
      </c>
      <c r="D1" s="15" t="inlineStr">
        <is>
          <t>Fin</t>
        </is>
      </c>
      <c r="E1" s="15" t="inlineStr">
        <is>
          <t>Durée</t>
        </is>
      </c>
      <c r="F1" s="16" t="inlineStr">
        <is>
          <t>Terminé</t>
        </is>
      </c>
      <c r="G1" s="15" t="inlineStr">
        <is>
          <t>Avancement</t>
        </is>
      </c>
      <c r="H1" s="15" t="inlineStr">
        <is>
          <t>Remarque</t>
        </is>
      </c>
    </row>
    <row r="2">
      <c r="A2" s="17" t="inlineStr">
        <is>
          <t>Phase 1</t>
        </is>
      </c>
      <c r="B2" s="18" t="inlineStr">
        <is>
          <t>Cadrage du projet</t>
        </is>
      </c>
      <c r="C2" s="19" t="n">
        <v>45299.375</v>
      </c>
      <c r="D2" s="20" t="n">
        <v>45310.72916666666</v>
      </c>
      <c r="E2" s="21" t="n">
        <v>1.5</v>
      </c>
      <c r="F2" s="22" t="b">
        <v>1</v>
      </c>
      <c r="G2" s="23" t="n">
        <v>1</v>
      </c>
      <c r="H2" s="24" t="inlineStr">
        <is>
          <t>Validé en comité</t>
        </is>
      </c>
    </row>
    <row r="3">
      <c r="A3" s="25" t="n"/>
      <c r="B3" s="18" t="inlineStr">
        <is>
          <t>Recueil des besoins</t>
        </is>
      </c>
      <c r="C3" s="19" t="n">
        <v>45313.375</v>
      </c>
      <c r="D3" s="20" t="n">
        <v>45338.75</v>
      </c>
      <c r="E3" s="21" t="n">
        <v>2.25</v>
      </c>
      <c r="F3" s="22" t="b">
        <v>1</v>
      </c>
      <c r="G3" s="23" t="n">
        <v>1</v>
      </c>
      <c r="H3" s="24" t="inlineStr">
        <is>
          <t>Ateliers avec les utilisateurs
et les métiers (4 sessions)</t>
        </is>
      </c>
    </row>
    <row r="4">
      <c r="A4" s="26" t="n"/>
      <c r="B4" s="18" t="inlineStr">
        <is>
          <t>Rédaction des spécifications</t>
        </is>
      </c>
      <c r="C4" s="19" t="n">
        <v>45341</v>
      </c>
      <c r="D4" s="20" t="n">
        <v>45380</v>
      </c>
      <c r="E4" s="21" t="n">
        <v>10.75</v>
      </c>
      <c r="F4" s="22" t="b">
        <v>0</v>
      </c>
      <c r="G4" s="23" t="n">
        <v>0.85</v>
      </c>
      <c r="H4" s="24" t="n"/>
    </row>
    <row r="5">
      <c r="A5" s="17" t="inlineStr">
        <is>
          <t>Phase 2</t>
        </is>
      </c>
      <c r="B5" s="18" t="inlineStr">
        <is>
          <t>Développement</t>
        </is>
      </c>
      <c r="C5" s="19" t="n">
        <v>45383</v>
      </c>
      <c r="D5" s="20" t="n">
        <v>45485</v>
      </c>
      <c r="E5" s="21" t="n">
        <v>30.5</v>
      </c>
      <c r="F5" s="22" t="b">
        <v>0</v>
      </c>
      <c r="G5" s="23" t="n">
        <v>0.4</v>
      </c>
      <c r="H5" s="24">
        <f>1/0</f>
        <v/>
      </c>
    </row>
    <row r="6">
      <c r="A6" s="26" t="n"/>
      <c r="B6" s="18" t="inlineStr">
        <is>
          <t>Recette</t>
        </is>
      </c>
      <c r="C6" s="19" t="n">
        <v>45537</v>
      </c>
      <c r="D6" s="20" t="n">
        <v>45576</v>
      </c>
      <c r="E6" s="21" t="n">
        <v>12</v>
      </c>
      <c r="F6" s="22" t="b">
        <v>0</v>
      </c>
      <c r="G6" s="23" t="n">
        <v>0</v>
      </c>
      <c r="H6" s="24" t="n"/>
    </row>
    <row r="7">
      <c r="A7" s="27" t="inlineStr">
        <is>
          <t>Note</t>
        </is>
      </c>
      <c r="B7" t="inlineStr">
        <is>
          <r>
            <rPr>
              <b val="1"/>
              <color rgb="00C00000"/>
            </rPr>
            <t xml:space="preserve">Attention : </t>
          </r>
          <r>
            <t xml:space="preserve">livrable en retard de </t>
          </r>
          <r>
            <rPr>
              <i val="1"/>
              <u val="single"/>
            </rPr>
            <t>deux semaines</t>
          </r>
        </is>
      </c>
    </row>
    <row r="8">
      <c r="A8" t="inlineStr">
        <is>
          <t>Montant</t>
        </is>
      </c>
      <c r="B8" s="28" t="n">
        <v>-1234.5</v>
      </c>
      <c r="C8" s="29" t="n">
        <v>0.000123</v>
      </c>
      <c r="D8" s="30" t="n">
        <v>3.14159265</v>
      </c>
      <c r="E8" t="n">
        <v>1234567890123</v>
      </c>
      <c r="F8" t="b">
        <v>0</v>
      </c>
      <c r="G8" s="31" t="inlineStr">
        <is>
          <t>0612345678</t>
        </is>
      </c>
      <c r="H8" t="n">
        <v>0.3</v>
      </c>
    </row>
  </sheetData>
  <mergeCells count="3">
    <mergeCell ref="A5:A6"/>
    <mergeCell ref="A2:A4"/>
    <mergeCell ref="B7: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0" customWidth="1" min="4" max="4"/>
    <col width="14" customWidth="1" min="5" max="5"/>
  </cols>
  <sheetData>
    <row r="1">
      <c r="A1" t="inlineStr">
        <is>
          <t>Produit</t>
        </is>
      </c>
      <c r="B1" t="inlineStr">
        <is>
          <t>Catégorie</t>
        </is>
      </c>
      <c r="C1" t="inlineStr">
        <is>
          <t>Prix unitaire</t>
        </is>
      </c>
      <c r="D1" t="inlineStr">
        <is>
          <t>Quantité</t>
        </is>
      </c>
      <c r="E1" t="inlineStr">
        <is>
          <t>Montant</t>
        </is>
      </c>
    </row>
    <row r="2">
      <c r="A2" t="inlineStr">
        <is>
          <t>Stylo</t>
        </is>
      </c>
      <c r="B2" t="inlineStr">
        <is>
          <t>Fournitures</t>
        </is>
      </c>
      <c r="C2" s="32" t="n">
        <v>1.2</v>
      </c>
      <c r="D2" t="n">
        <v>150</v>
      </c>
      <c r="E2" s="32">
        <f>C2*D2</f>
        <v/>
      </c>
    </row>
    <row r="3">
      <c r="A3" t="inlineStr">
        <is>
          <t>Cahier</t>
        </is>
      </c>
      <c r="B3" t="inlineStr">
        <is>
          <t>Fournitures</t>
        </is>
      </c>
      <c r="C3" s="32" t="n">
        <v>2.5</v>
      </c>
      <c r="D3" t="n">
        <v>80</v>
      </c>
      <c r="E3" s="32">
        <f>C3*D3</f>
        <v/>
      </c>
    </row>
    <row r="4">
      <c r="A4" t="inlineStr">
        <is>
          <t>Agrafeuse</t>
        </is>
      </c>
      <c r="B4" t="inlineStr">
        <is>
          <t>Matériel</t>
        </is>
      </c>
      <c r="C4" s="32" t="n">
        <v>12.9</v>
      </c>
      <c r="D4" t="n">
        <v>12</v>
      </c>
      <c r="E4" s="32">
        <f>C4*D4</f>
        <v/>
      </c>
    </row>
    <row r="5">
      <c r="A5" t="inlineStr">
        <is>
          <t>Écran 24 pouces</t>
        </is>
      </c>
      <c r="B5" t="inlineStr">
        <is>
          <t>Informatique</t>
        </is>
      </c>
      <c r="C5" s="32" t="n">
        <v>189.99</v>
      </c>
      <c r="D5" t="n">
        <v>5</v>
      </c>
      <c r="E5" s="32">
        <f>C5*D5</f>
        <v/>
      </c>
    </row>
    <row r="6">
      <c r="A6" t="inlineStr">
        <is>
          <t>Clavier</t>
        </is>
      </c>
      <c r="B6" t="inlineStr">
        <is>
          <t>Informatique</t>
        </is>
      </c>
      <c r="C6" s="32" t="n">
        <v>24.5</v>
      </c>
      <c r="D6" t="n">
        <v>10</v>
      </c>
      <c r="E6" s="32">
        <f>C6*D6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 masquée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2026-09-29T04:15:39Z</dcterms:created>
  <dcterms:modified xmlns:dcterms="http://purl.org/dc/terms/" xmlns:xsi="http://www.w3.org/2001/XMLSchema-instance" xsi:type="dcterms:W3CDTF">2026-09-29T04:15:39Z</dcterms:modified>
</cp:coreProperties>
</file>